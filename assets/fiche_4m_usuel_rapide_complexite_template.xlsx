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showInkAnnotation="0" updateLinks="always"/>
  <mc:AlternateContent xmlns:mc="http://schemas.openxmlformats.org/markup-compatibility/2006">
    <mc:Choice Requires="x15">
      <x15ac:absPath xmlns:x15ac="http://schemas.microsoft.com/office/spreadsheetml/2010/11/ac" url="https://ghtcaussesmed-my.sharepoint.com/personal/simon_leboeuf_chu-montpellier_fr/Documents/HDJ/MCO/"/>
    </mc:Choice>
  </mc:AlternateContent>
  <xr:revisionPtr revIDLastSave="70" documentId="8_{565ED645-DD90-4106-892E-B47F4E39DFC7}" xr6:coauthVersionLast="47" xr6:coauthVersionMax="47" xr10:uidLastSave="{4026CB14-1D73-434A-B4F1-B7A3FFBFAA02}"/>
  <bookViews>
    <workbookView xWindow="-120" yWindow="-120" windowWidth="29040" windowHeight="15720" firstSheet="1" xr2:uid="{00000000-000D-0000-FFFF-FFFF00000000}"/>
  </bookViews>
  <sheets>
    <sheet name="Recueil" sheetId="1" r:id="rId1"/>
    <sheet name="Résultats" sheetId="2" r:id="rId2"/>
    <sheet name="LISTES" sheetId="3" r:id="rId3"/>
  </sheets>
  <externalReferences>
    <externalReference r:id="rId4"/>
  </externalReferences>
  <definedNames>
    <definedName name="_xlnm.Print_Titles" localSheetId="0">Recueil!$1:$2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B6" i="2" l="1"/>
  <c r="B13" i="2"/>
  <c r="B30" i="2"/>
  <c r="C30" i="2" s="1"/>
  <c r="B12" i="2"/>
  <c r="B29" i="2"/>
  <c r="B5" i="2"/>
  <c r="B8" i="2" s="1"/>
  <c r="B16" i="2"/>
  <c r="B9" i="2"/>
  <c r="B14" i="2" l="1"/>
  <c r="B32" i="2"/>
  <c r="B15" i="2"/>
  <c r="B21" i="2" s="1"/>
  <c r="B25" i="2"/>
  <c r="B24" i="2"/>
  <c r="B7" i="2"/>
  <c r="B31" i="2"/>
  <c r="M18" i="2"/>
  <c r="C29" i="2"/>
  <c r="M20" i="2"/>
  <c r="M19" i="2"/>
  <c r="B20" i="2" l="1"/>
  <c r="F21" i="2" s="1"/>
  <c r="B19" i="2"/>
  <c r="M21" i="2"/>
</calcChain>
</file>

<file path=xl/sharedStrings.xml><?xml version="1.0" encoding="utf-8"?>
<sst xmlns="http://schemas.openxmlformats.org/spreadsheetml/2006/main" count="141" uniqueCount="81">
  <si>
    <t>Évaluation vitesse de marche – 4 m lancés (usuel vs rapide)</t>
  </si>
  <si>
    <t>Remplir uniquement les cellules en bleu. Chronométrer la zone de 4 m (lancés) ; noter les temps en secondes.</t>
  </si>
  <si>
    <t>Informations patient</t>
  </si>
  <si>
    <t>Identifiant</t>
  </si>
  <si>
    <t>Date</t>
  </si>
  <si>
    <t/>
  </si>
  <si>
    <t>Groupe</t>
  </si>
  <si>
    <t>MCO</t>
  </si>
  <si>
    <t>Âge (ans)</t>
  </si>
  <si>
    <t>Sexe</t>
  </si>
  <si>
    <t>Taille (cm)</t>
  </si>
  <si>
    <t>Poids (kg)</t>
  </si>
  <si>
    <t>Diagnostic/Contexte</t>
  </si>
  <si>
    <t>Évaluateur</t>
  </si>
  <si>
    <t>SL</t>
  </si>
  <si>
    <t>Paramètres du test</t>
  </si>
  <si>
    <t>Distance chronométrée (m)</t>
  </si>
  <si>
    <t>Élan (m) (reco: 2)</t>
  </si>
  <si>
    <t>Décélération (m) (reco: 2)</t>
  </si>
  <si>
    <t>Surface / chaussures</t>
  </si>
  <si>
    <t>Essais – Vitesse USUELLE</t>
  </si>
  <si>
    <t>Essai</t>
  </si>
  <si>
    <t>Temps (s)</t>
  </si>
  <si>
    <t>Note (option)</t>
  </si>
  <si>
    <t>Essais – Vitesse RAPIDE (sécuritaire)</t>
  </si>
  <si>
    <t>Essais alternés (option) – coût de switch</t>
  </si>
  <si>
    <t>Usuel APRÈS rapide – temps (s)</t>
  </si>
  <si>
    <t>Rapide APRÈS usuel – temps (s)</t>
  </si>
  <si>
    <t>Double tâche (option)</t>
  </si>
  <si>
    <t>Type de double tâche (ex: 100-7, animaux, etc.)</t>
  </si>
  <si>
    <t>Usuel DT – essai 1 (s)</t>
  </si>
  <si>
    <t>Usuel DT – essai 2 (s)</t>
  </si>
  <si>
    <t>5TSTS (s)</t>
  </si>
  <si>
    <t>Rapide DT – essai 1 (s)</t>
  </si>
  <si>
    <t>Rapide DT – essai 2 (s)</t>
  </si>
  <si>
    <t>Parachutes</t>
  </si>
  <si>
    <t>ant ok; post ko</t>
  </si>
  <si>
    <t>Equilibre unipodal</t>
  </si>
  <si>
    <t>D XX; G XX</t>
  </si>
  <si>
    <t>Equilibre tandem + (s)</t>
  </si>
  <si>
    <t>tandem ; 11</t>
  </si>
  <si>
    <t>TUG</t>
  </si>
  <si>
    <t>Handgrip</t>
  </si>
  <si>
    <t>D+ XX, xx, xx, G- XX, xx, xx</t>
  </si>
  <si>
    <t>Notes globales (option)</t>
  </si>
  <si>
    <t>Résultats automatiques (à partir des temps du Recueil)</t>
  </si>
  <si>
    <t>Les cellules noires sont calculées automatiquement. Les champs vides indiquent qu'il manque des essais.</t>
  </si>
  <si>
    <t>Vitesse usuelle</t>
  </si>
  <si>
    <t>Temps moyen (s)</t>
  </si>
  <si>
    <t>Écart-type (s)</t>
  </si>
  <si>
    <t>CV (%)</t>
  </si>
  <si>
    <t>Vitesse (m/s)</t>
  </si>
  <si>
    <t>Drift (dernier - premier) (s)</t>
  </si>
  <si>
    <t>Vitesse rapide</t>
  </si>
  <si>
    <t>Coefficient de variation des vitesses globales (%)</t>
  </si>
  <si>
    <t>Adaptabilité DT (réserve de vitesse)</t>
  </si>
  <si>
    <t>Adaptabilité (réserve de vitesse)</t>
  </si>
  <si>
    <t>ΔV (m/s) = V_rapide - V_usuel</t>
  </si>
  <si>
    <t>%ΔV (%)</t>
  </si>
  <si>
    <t>Rapport V_rapide / V_usuel</t>
  </si>
  <si>
    <t>DTC sur variabilité</t>
  </si>
  <si>
    <t>DTC (sur adaptabilité) (%)</t>
  </si>
  <si>
    <t>Coût de switch (option)</t>
  </si>
  <si>
    <t>Usuel après rapide – Δt (s) vs temps moyen usuel</t>
  </si>
  <si>
    <t>Rapide après usuel – Δt (s) vs temps moyen rapide</t>
  </si>
  <si>
    <t>Temps moyen usuel DT (s)</t>
  </si>
  <si>
    <t>Temps moyen rapide DT (s)</t>
  </si>
  <si>
    <t>DTC usuel (%)</t>
  </si>
  <si>
    <t>DTC rapide (%)</t>
  </si>
  <si>
    <t>Lecture rapide (à utiliser avec le contexte clinique):
• ΔV / %ΔV = réserve de vitesse (adaptabilité)
• CV = stabilité (variabilité intra-consigne)
• Drift = fatigabilité (sur répétitions)
• Switch = coût du changement de consigne
• DTC = coût de double tâche (attention/exécutif)</t>
  </si>
  <si>
    <t>tandem</t>
  </si>
  <si>
    <t>Patients</t>
  </si>
  <si>
    <t>RPdS ; xx</t>
  </si>
  <si>
    <t>1/2tandem ; xx</t>
  </si>
  <si>
    <t>GMCO-MA-001 - ANDREO MARYVONNE</t>
  </si>
  <si>
    <t>ant ko; post ko</t>
  </si>
  <si>
    <t>tandem ; xx</t>
  </si>
  <si>
    <t>GMCO-NH-004 - HERBRECHT NOELLE</t>
  </si>
  <si>
    <t>ant ko; post ok</t>
  </si>
  <si>
    <t>GMCO-AC-003 - CHAREYRON ARLETTE</t>
  </si>
  <si>
    <t>ant ok; post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</si>
</sst>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1F4E79"/>
      <name val="Calibri"/>
    </font>
    <font>
      <sz val="11"/>
      <color rgb="FF0000FF"/>
      <name val="Calibri"/>
    </font>
    <font>
      <b/>
      <sz val="11"/>
      <name val="Calibri"/>
    </font>
    <font>
      <sz val="10"/>
      <name val="Calibri"/>
    </font>
    <font>
      <sz val="11"/>
      <color rgb="FF242424"/>
      <name val="Aptos Narrow"/>
      <charset val="1"/>
    </font>
    <font>
      <sz val="11"/>
      <color rgb="FF0000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4" borderId="1" xfId="0" applyFill="1" applyBorder="1" applyAlignment="1">
      <alignment horizontal="left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2" fontId="3" fillId="0" borderId="1" xfId="0" applyNumberFormat="1" applyFont="1" applyBorder="1"/>
    <xf numFmtId="2" fontId="0" fillId="0" borderId="1" xfId="0" applyNumberForma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/>
    <xf numFmtId="0" fontId="6" fillId="0" borderId="0" xfId="0" applyFont="1"/>
    <xf numFmtId="0" fontId="7" fillId="0" borderId="0" xfId="0" applyFont="1"/>
    <xf numFmtId="2" fontId="0" fillId="6" borderId="1" xfId="0" applyNumberFormat="1" applyFill="1" applyBorder="1" applyAlignment="1">
      <alignment horizontal="right" vertical="center" wrapText="1"/>
    </xf>
    <xf numFmtId="164" fontId="0" fillId="7" borderId="1" xfId="0" applyNumberFormat="1" applyFill="1" applyBorder="1" applyAlignment="1">
      <alignment horizontal="right" vertical="center" wrapText="1"/>
    </xf>
    <xf numFmtId="164" fontId="0" fillId="8" borderId="0" xfId="0" applyNumberFormat="1" applyFill="1"/>
    <xf numFmtId="164" fontId="0" fillId="9" borderId="1" xfId="0" applyNumberFormat="1" applyFill="1" applyBorder="1" applyAlignment="1">
      <alignment horizontal="right" vertical="center" wrapText="1"/>
    </xf>
    <xf numFmtId="2" fontId="0" fillId="6" borderId="1" xfId="0" applyNumberFormat="1" applyFill="1" applyBorder="1"/>
    <xf numFmtId="2" fontId="0" fillId="0" borderId="0" xfId="0" applyNumberFormat="1"/>
    <xf numFmtId="49" fontId="0" fillId="0" borderId="0" xfId="0" applyNumberFormat="1"/>
    <xf numFmtId="49" fontId="3" fillId="0" borderId="1" xfId="0" applyNumberFormat="1" applyFont="1" applyBorder="1"/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Suivi_programme_ambulatoire_template_v2.xlsx" TargetMode="External"/><Relationship Id="rId2" Type="http://schemas.openxmlformats.org/officeDocument/2006/relationships/externalLinkPath" Target="https://ghtcaussesmed-my.sharepoint.com/personal/simon_leboeuf_chu-montpellier_fr/Documents/HDJ%20SMR/Suivi_programme_ambulatoire_template_v2.xlsx" TargetMode="External"/><Relationship Id="rId1" Type="http://schemas.openxmlformats.org/officeDocument/2006/relationships/externalLinkPath" Target="/personal/simon_leboeuf_chu-montpellier_fr/Documents/HDJ/Suivi_programme_ambulatoir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EuTbVixNEWwauWL9PGAkydDl_kNboRKj7XojlJXQ3_UQQ8j-IHyRJGdgRXiDpoI" itemId="01IUZBCA6PGF27WT5YZREKKI6P7453QAQY">
      <xxl21:absoluteUrl r:id="rId2"/>
      <xxl21:relativeUrl r:id="rId3"/>
    </xxl21:alternateUrls>
    <sheetNames>
      <sheetName val="PATIENTS"/>
      <sheetName val="LOG"/>
      <sheetName val="SYNTHESE"/>
      <sheetName val="LISTES"/>
      <sheetName val="Suivi_programme_ambulatoire_tem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topLeftCell="A6" workbookViewId="0">
      <selection activeCell="H35" sqref="H35"/>
    </sheetView>
  </sheetViews>
  <sheetFormatPr defaultColWidth="9.140625" defaultRowHeight="15"/>
  <cols>
    <col min="1" max="1" width="32" customWidth="1"/>
    <col min="2" max="2" width="26.5703125" customWidth="1"/>
    <col min="3" max="3" width="16" customWidth="1"/>
    <col min="4" max="4" width="24" customWidth="1"/>
    <col min="5" max="8" width="16" customWidth="1"/>
  </cols>
  <sheetData>
    <row r="1" spans="1:8" ht="27.95" customHeight="1">
      <c r="A1" s="25" t="s">
        <v>0</v>
      </c>
      <c r="B1" s="36"/>
      <c r="C1" s="36"/>
      <c r="D1" s="36"/>
      <c r="E1" s="36"/>
      <c r="F1" s="36"/>
      <c r="G1" s="36"/>
      <c r="H1" s="36"/>
    </row>
    <row r="2" spans="1:8" ht="30" customHeight="1">
      <c r="A2" s="30" t="s">
        <v>1</v>
      </c>
      <c r="B2" s="36"/>
      <c r="C2" s="36"/>
      <c r="D2" s="36"/>
      <c r="E2" s="36"/>
      <c r="F2" s="36"/>
      <c r="G2" s="36"/>
      <c r="H2" s="36"/>
    </row>
    <row r="3" spans="1:8">
      <c r="B3" s="22"/>
    </row>
    <row r="4" spans="1:8">
      <c r="A4" s="34" t="s">
        <v>2</v>
      </c>
      <c r="B4" s="36"/>
      <c r="C4" s="36"/>
      <c r="D4" s="36"/>
      <c r="E4" s="36"/>
      <c r="F4" s="36"/>
      <c r="G4" s="36"/>
      <c r="H4" s="36"/>
    </row>
    <row r="5" spans="1:8">
      <c r="A5" s="1" t="s">
        <v>3</v>
      </c>
      <c r="B5" s="23"/>
      <c r="D5" s="1" t="s">
        <v>4</v>
      </c>
      <c r="E5" s="2" t="s">
        <v>5</v>
      </c>
      <c r="G5" s="1" t="s">
        <v>6</v>
      </c>
      <c r="H5" s="2" t="s">
        <v>7</v>
      </c>
    </row>
    <row r="6" spans="1:8">
      <c r="A6" s="1" t="s">
        <v>8</v>
      </c>
      <c r="B6" s="2"/>
      <c r="D6" s="1" t="s">
        <v>9</v>
      </c>
      <c r="E6" s="2" t="s">
        <v>5</v>
      </c>
    </row>
    <row r="7" spans="1:8">
      <c r="A7" s="1" t="s">
        <v>10</v>
      </c>
      <c r="B7" s="2"/>
      <c r="D7" s="1" t="s">
        <v>11</v>
      </c>
      <c r="E7" s="2"/>
    </row>
    <row r="8" spans="1:8">
      <c r="A8" s="1" t="s">
        <v>12</v>
      </c>
      <c r="B8" s="2" t="s">
        <v>5</v>
      </c>
      <c r="D8" s="1" t="s">
        <v>13</v>
      </c>
      <c r="E8" s="2" t="s">
        <v>14</v>
      </c>
    </row>
    <row r="10" spans="1:8">
      <c r="A10" s="34" t="s">
        <v>15</v>
      </c>
      <c r="B10" s="36"/>
      <c r="C10" s="36"/>
      <c r="D10" s="36"/>
      <c r="E10" s="36"/>
      <c r="F10" s="36"/>
      <c r="G10" s="36"/>
      <c r="H10" s="36"/>
    </row>
    <row r="11" spans="1:8">
      <c r="A11" s="1" t="s">
        <v>16</v>
      </c>
      <c r="B11" s="3">
        <v>4</v>
      </c>
      <c r="D11" s="1" t="s">
        <v>17</v>
      </c>
      <c r="E11" s="3">
        <v>2</v>
      </c>
    </row>
    <row r="12" spans="1:8">
      <c r="A12" s="1" t="s">
        <v>18</v>
      </c>
      <c r="B12" s="3">
        <v>2</v>
      </c>
      <c r="D12" s="1" t="s">
        <v>19</v>
      </c>
      <c r="E12" s="2" t="s">
        <v>5</v>
      </c>
    </row>
    <row r="14" spans="1:8">
      <c r="A14" s="34" t="s">
        <v>20</v>
      </c>
      <c r="B14" s="36"/>
      <c r="C14" s="36"/>
      <c r="D14" s="36"/>
      <c r="E14" s="36"/>
      <c r="F14" s="36"/>
      <c r="G14" s="36"/>
      <c r="H14" s="36"/>
    </row>
    <row r="15" spans="1:8">
      <c r="A15" s="4" t="s">
        <v>21</v>
      </c>
      <c r="B15" s="4" t="s">
        <v>22</v>
      </c>
      <c r="C15" s="35" t="s">
        <v>23</v>
      </c>
      <c r="D15" s="37"/>
      <c r="E15" s="37"/>
      <c r="F15" s="37"/>
      <c r="G15" s="37"/>
      <c r="H15" s="37"/>
    </row>
    <row r="16" spans="1:8">
      <c r="A16" s="6">
        <v>1</v>
      </c>
      <c r="B16" s="7"/>
      <c r="C16" s="33" t="s">
        <v>5</v>
      </c>
      <c r="D16" s="37"/>
      <c r="E16" s="37"/>
      <c r="F16" s="37"/>
      <c r="G16" s="37"/>
      <c r="H16" s="37"/>
    </row>
    <row r="17" spans="1:8">
      <c r="A17" s="6">
        <v>2</v>
      </c>
      <c r="B17" s="7"/>
      <c r="C17" s="33" t="s">
        <v>5</v>
      </c>
      <c r="D17" s="37"/>
      <c r="E17" s="37"/>
      <c r="F17" s="37"/>
      <c r="G17" s="37"/>
      <c r="H17" s="37"/>
    </row>
    <row r="18" spans="1:8">
      <c r="A18" s="6">
        <v>3</v>
      </c>
      <c r="B18" s="7"/>
      <c r="C18" s="33" t="s">
        <v>5</v>
      </c>
      <c r="D18" s="37"/>
      <c r="E18" s="37"/>
      <c r="F18" s="37"/>
      <c r="G18" s="37"/>
      <c r="H18" s="37"/>
    </row>
    <row r="20" spans="1:8">
      <c r="A20" s="34" t="s">
        <v>24</v>
      </c>
      <c r="B20" s="36"/>
      <c r="C20" s="36"/>
      <c r="D20" s="36"/>
      <c r="E20" s="36"/>
      <c r="F20" s="36"/>
      <c r="G20" s="36"/>
      <c r="H20" s="36"/>
    </row>
    <row r="21" spans="1:8">
      <c r="A21" s="4" t="s">
        <v>21</v>
      </c>
      <c r="B21" s="4" t="s">
        <v>22</v>
      </c>
      <c r="C21" s="35" t="s">
        <v>23</v>
      </c>
      <c r="D21" s="37"/>
      <c r="E21" s="37"/>
      <c r="F21" s="37"/>
      <c r="G21" s="37"/>
      <c r="H21" s="37"/>
    </row>
    <row r="22" spans="1:8">
      <c r="A22" s="6">
        <v>1</v>
      </c>
      <c r="B22" s="7"/>
      <c r="C22" s="33" t="s">
        <v>5</v>
      </c>
      <c r="D22" s="37"/>
      <c r="E22" s="37"/>
      <c r="F22" s="37"/>
      <c r="G22" s="37"/>
      <c r="H22" s="37"/>
    </row>
    <row r="23" spans="1:8">
      <c r="A23" s="6">
        <v>2</v>
      </c>
      <c r="B23" s="7"/>
      <c r="C23" s="33" t="s">
        <v>5</v>
      </c>
      <c r="D23" s="37"/>
      <c r="E23" s="37"/>
      <c r="F23" s="37"/>
      <c r="G23" s="37"/>
      <c r="H23" s="37"/>
    </row>
    <row r="24" spans="1:8">
      <c r="A24" s="6">
        <v>3</v>
      </c>
      <c r="B24" s="7"/>
      <c r="C24" s="33" t="s">
        <v>5</v>
      </c>
      <c r="D24" s="37"/>
      <c r="E24" s="37"/>
      <c r="F24" s="37"/>
      <c r="G24" s="37"/>
      <c r="H24" s="37"/>
    </row>
    <row r="26" spans="1:8">
      <c r="A26" s="34" t="s">
        <v>25</v>
      </c>
      <c r="B26" s="36"/>
      <c r="C26" s="36"/>
      <c r="D26" s="36"/>
      <c r="E26" s="36"/>
      <c r="F26" s="36"/>
      <c r="G26" s="36"/>
      <c r="H26" s="36"/>
    </row>
    <row r="27" spans="1:8">
      <c r="A27" s="1" t="s">
        <v>26</v>
      </c>
      <c r="B27" s="7" t="s">
        <v>5</v>
      </c>
      <c r="C27" s="33" t="s">
        <v>5</v>
      </c>
      <c r="D27" s="37"/>
      <c r="E27" s="37"/>
      <c r="F27" s="37"/>
      <c r="G27" s="37"/>
      <c r="H27" s="37"/>
    </row>
    <row r="28" spans="1:8">
      <c r="A28" s="1" t="s">
        <v>27</v>
      </c>
      <c r="B28" s="7" t="s">
        <v>5</v>
      </c>
      <c r="C28" s="33" t="s">
        <v>5</v>
      </c>
      <c r="D28" s="37"/>
      <c r="E28" s="37"/>
      <c r="F28" s="37"/>
      <c r="G28" s="37"/>
      <c r="H28" s="37"/>
    </row>
    <row r="30" spans="1:8">
      <c r="A30" s="34" t="s">
        <v>28</v>
      </c>
      <c r="B30" s="36"/>
      <c r="C30" s="36"/>
      <c r="D30" s="36"/>
      <c r="E30" s="36"/>
      <c r="F30" s="36"/>
      <c r="G30" s="36"/>
      <c r="H30" s="36"/>
    </row>
    <row r="31" spans="1:8" ht="30">
      <c r="A31" s="1" t="s">
        <v>29</v>
      </c>
      <c r="B31" s="33"/>
      <c r="C31" s="37"/>
      <c r="D31" s="37"/>
      <c r="E31" s="37"/>
      <c r="F31" s="37"/>
      <c r="G31" s="37"/>
      <c r="H31" s="37"/>
    </row>
    <row r="33" spans="1:8">
      <c r="A33" s="1" t="s">
        <v>30</v>
      </c>
      <c r="B33" s="7"/>
      <c r="D33" s="1" t="s">
        <v>31</v>
      </c>
      <c r="E33" s="7"/>
      <c r="G33" s="1" t="s">
        <v>32</v>
      </c>
      <c r="H33" s="7"/>
    </row>
    <row r="35" spans="1:8">
      <c r="A35" s="1" t="s">
        <v>33</v>
      </c>
      <c r="B35" s="7"/>
      <c r="D35" s="1" t="s">
        <v>34</v>
      </c>
      <c r="E35" s="7"/>
      <c r="G35" s="1" t="s">
        <v>35</v>
      </c>
      <c r="H35" s="7" t="s">
        <v>36</v>
      </c>
    </row>
    <row r="36" spans="1:8">
      <c r="A36" s="12"/>
      <c r="B36" s="13"/>
      <c r="D36" s="12"/>
      <c r="E36" s="13"/>
      <c r="G36" s="12"/>
      <c r="H36" s="13"/>
    </row>
    <row r="37" spans="1:8">
      <c r="A37" s="1" t="s">
        <v>37</v>
      </c>
      <c r="B37" s="7" t="s">
        <v>38</v>
      </c>
      <c r="D37" s="1" t="s">
        <v>39</v>
      </c>
      <c r="E37" s="7" t="s">
        <v>40</v>
      </c>
      <c r="G37" s="1" t="s">
        <v>41</v>
      </c>
      <c r="H37" s="7"/>
    </row>
    <row r="39" spans="1:8">
      <c r="D39" s="1" t="s">
        <v>42</v>
      </c>
      <c r="E39" s="15" t="s">
        <v>43</v>
      </c>
    </row>
    <row r="41" spans="1:8" ht="15" customHeight="1">
      <c r="A41" s="31" t="s">
        <v>44</v>
      </c>
      <c r="B41" s="31"/>
      <c r="C41" s="31"/>
      <c r="D41" s="31"/>
      <c r="E41" s="31"/>
      <c r="F41" s="31"/>
      <c r="G41" s="31"/>
      <c r="H41" s="31"/>
    </row>
    <row r="42" spans="1:8" ht="60" customHeight="1">
      <c r="A42" s="32"/>
      <c r="B42" s="37"/>
      <c r="C42" s="37"/>
      <c r="D42" s="37"/>
      <c r="E42" s="37"/>
      <c r="F42" s="37"/>
      <c r="G42" s="37"/>
      <c r="H42" s="37"/>
    </row>
    <row r="43" spans="1:8">
      <c r="A43" s="37"/>
      <c r="B43" s="37"/>
      <c r="C43" s="37"/>
      <c r="D43" s="37"/>
      <c r="E43" s="37"/>
      <c r="F43" s="37"/>
      <c r="G43" s="37"/>
      <c r="H43" s="37"/>
    </row>
    <row r="44" spans="1:8">
      <c r="A44" s="37"/>
      <c r="B44" s="37"/>
      <c r="C44" s="37"/>
      <c r="D44" s="37"/>
      <c r="E44" s="37"/>
      <c r="F44" s="37"/>
      <c r="G44" s="37"/>
      <c r="H44" s="37"/>
    </row>
    <row r="45" spans="1:8">
      <c r="A45" s="37"/>
      <c r="B45" s="37"/>
      <c r="C45" s="37"/>
      <c r="D45" s="37"/>
      <c r="E45" s="37"/>
      <c r="F45" s="37"/>
      <c r="G45" s="37"/>
      <c r="H45" s="37"/>
    </row>
  </sheetData>
  <mergeCells count="21">
    <mergeCell ref="A41:H41"/>
    <mergeCell ref="B31:H31"/>
    <mergeCell ref="A26:H26"/>
    <mergeCell ref="A42:H45"/>
    <mergeCell ref="C28:H28"/>
    <mergeCell ref="C16:H16"/>
    <mergeCell ref="A30:H30"/>
    <mergeCell ref="C22:H22"/>
    <mergeCell ref="A1:H1"/>
    <mergeCell ref="C21:H21"/>
    <mergeCell ref="C27:H27"/>
    <mergeCell ref="C23:H23"/>
    <mergeCell ref="C17:H17"/>
    <mergeCell ref="A2:H2"/>
    <mergeCell ref="A14:H14"/>
    <mergeCell ref="C18:H18"/>
    <mergeCell ref="C15:H15"/>
    <mergeCell ref="A4:H4"/>
    <mergeCell ref="C24:H24"/>
    <mergeCell ref="A20:H20"/>
    <mergeCell ref="A10:H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xr:uid="{84E7291C-2B59-4FE3-812C-3F4D6F8918B3}">
          <x14:formula1>
            <xm:f>LISTES!$D$2:$D$4</xm:f>
          </x14:formula1>
          <xm:sqref>E37</xm:sqref>
        </x14:dataValidation>
        <x14:dataValidation type="list" allowBlank="1" showInputMessage="1" showErrorMessage="1" xr:uid="{240744C9-C437-43FB-84FF-E203BE5BE11E}">
          <x14:formula1>
            <xm:f>LISTES!$H$2:$H$5</xm:f>
          </x14:formula1>
          <xm:sqref>H35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showGridLines="0" topLeftCell="A8" workbookViewId="0">
      <selection activeCell="A11" sqref="A11:D11"/>
    </sheetView>
  </sheetViews>
  <sheetFormatPr defaultColWidth="9.140625" defaultRowHeight="15"/>
  <cols>
    <col min="1" max="1" width="34" customWidth="1"/>
    <col min="2" max="2" width="18" customWidth="1"/>
    <col min="3" max="3" width="25" customWidth="1"/>
    <col min="4" max="4" width="18" customWidth="1"/>
    <col min="5" max="5" width="19.7109375" customWidth="1"/>
    <col min="8" max="8" width="6" customWidth="1"/>
    <col min="11" max="11" width="3.85546875" customWidth="1"/>
    <col min="12" max="12" width="35" customWidth="1"/>
  </cols>
  <sheetData>
    <row r="1" spans="1:14" ht="26.1" customHeight="1">
      <c r="A1" s="25" t="s">
        <v>45</v>
      </c>
      <c r="B1" s="36"/>
      <c r="C1" s="36"/>
      <c r="D1" s="36"/>
    </row>
    <row r="2" spans="1:14" ht="27.95" customHeight="1">
      <c r="A2" s="30" t="s">
        <v>46</v>
      </c>
      <c r="B2" s="36"/>
      <c r="C2" s="36"/>
      <c r="D2" s="36"/>
    </row>
    <row r="3" spans="1:14" ht="15.75">
      <c r="G3" s="31" t="s">
        <v>44</v>
      </c>
      <c r="H3" s="31"/>
      <c r="I3" s="31"/>
      <c r="J3" s="31"/>
      <c r="K3" s="31"/>
      <c r="L3" s="31"/>
      <c r="M3" s="31"/>
      <c r="N3" s="31"/>
    </row>
    <row r="4" spans="1:14" ht="18" customHeight="1">
      <c r="A4" s="24" t="s">
        <v>47</v>
      </c>
      <c r="B4" s="37"/>
      <c r="C4" s="37"/>
      <c r="D4" s="37"/>
      <c r="G4" s="32"/>
      <c r="H4" s="37"/>
      <c r="I4" s="37"/>
      <c r="J4" s="37"/>
      <c r="K4" s="37"/>
      <c r="L4" s="37"/>
      <c r="M4" s="37"/>
      <c r="N4" s="37"/>
    </row>
    <row r="5" spans="1:14" ht="18" customHeight="1">
      <c r="A5" s="1" t="s">
        <v>48</v>
      </c>
      <c r="B5" s="8" t="str">
        <f>IF(COUNT(Recueil!$B$16:$B$18)&gt;0,AVERAGE(Recueil!$B$16:$B$18),"")</f>
        <v/>
      </c>
      <c r="C5" s="5"/>
      <c r="D5" s="5"/>
      <c r="G5" s="37"/>
      <c r="H5" s="37"/>
      <c r="I5" s="37"/>
      <c r="J5" s="37"/>
      <c r="K5" s="37"/>
      <c r="L5" s="37"/>
      <c r="M5" s="37"/>
      <c r="N5" s="37"/>
    </row>
    <row r="6" spans="1:14" ht="18" customHeight="1">
      <c r="A6" s="1" t="s">
        <v>49</v>
      </c>
      <c r="B6" s="8" t="str">
        <f>IF(COUNT(Recueil!$B$16:$B$18)&gt;1,_xlfn.STDEV.S(Recueil!$B$16:$B$18),"")</f>
        <v/>
      </c>
      <c r="C6" s="5"/>
      <c r="D6" s="5"/>
      <c r="G6" s="37"/>
      <c r="H6" s="37"/>
      <c r="I6" s="37"/>
      <c r="J6" s="37"/>
      <c r="K6" s="37"/>
      <c r="L6" s="37"/>
      <c r="M6" s="37"/>
      <c r="N6" s="37"/>
    </row>
    <row r="7" spans="1:14" ht="18" customHeight="1">
      <c r="A7" s="1" t="s">
        <v>50</v>
      </c>
      <c r="B7" s="9" t="str">
        <f>IF(AND(B5&lt;&gt;"",B6&lt;&gt;""),B6/B5*100,"")</f>
        <v/>
      </c>
      <c r="C7" s="5"/>
      <c r="D7" s="5"/>
      <c r="G7" s="37"/>
      <c r="H7" s="37"/>
      <c r="I7" s="37"/>
      <c r="J7" s="37"/>
      <c r="K7" s="37"/>
      <c r="L7" s="37"/>
      <c r="M7" s="37"/>
      <c r="N7" s="37"/>
    </row>
    <row r="8" spans="1:14" ht="18" customHeight="1">
      <c r="A8" s="1" t="s">
        <v>51</v>
      </c>
      <c r="B8" s="16" t="str">
        <f>IF(B5&lt;&gt;"",Recueil!$B$11/B5,"")</f>
        <v/>
      </c>
      <c r="C8" s="5"/>
      <c r="D8" s="5"/>
    </row>
    <row r="9" spans="1:14" ht="18" customHeight="1">
      <c r="A9" s="1" t="s">
        <v>52</v>
      </c>
      <c r="B9" s="8" t="str">
        <f>IF(COUNT(Recueil!$B$16:$B$18)=3,Recueil!$B$18-Recueil!$B$16,IF(COUNT(Recueil!$B$16:$B$18)=2,Recueil!$B$17-Recueil!$B$16,""))</f>
        <v/>
      </c>
      <c r="C9" s="5"/>
      <c r="D9" s="5"/>
    </row>
    <row r="10" spans="1:14" ht="18" customHeight="1"/>
    <row r="11" spans="1:14" ht="18" customHeight="1">
      <c r="A11" s="24" t="s">
        <v>53</v>
      </c>
      <c r="B11" s="37"/>
      <c r="C11" s="37"/>
      <c r="D11" s="37"/>
    </row>
    <row r="12" spans="1:14" ht="18" customHeight="1">
      <c r="A12" s="1" t="s">
        <v>48</v>
      </c>
      <c r="B12" s="8" t="str">
        <f>IF(COUNT(Recueil!$B$22:$B$24)&gt;0,AVERAGE(Recueil!$B$22:$B$24),"")</f>
        <v/>
      </c>
      <c r="C12" s="5"/>
      <c r="D12" s="5"/>
      <c r="E12" t="s">
        <v>54</v>
      </c>
    </row>
    <row r="13" spans="1:14" ht="18" customHeight="1">
      <c r="A13" s="1" t="s">
        <v>49</v>
      </c>
      <c r="B13" s="8" t="str">
        <f>IF(COUNT(Recueil!$B$22:$B$24)&gt;1,_xlfn.STDEV.S(Recueil!$B$22:$B$24),"")</f>
        <v/>
      </c>
      <c r="C13" s="5"/>
      <c r="D13" s="5"/>
      <c r="E13" s="21" t="e">
        <f>(_xlfn.STDEV.S(Recueil!B22:B24,Recueil!B16:B18,Recueil!B33,Recueil!E33,Recueil!B35,Recueil!E35)/AVERAGE(Recueil!B16:B18,Recueil!B22:B24,Recueil!B33,Recueil!E33,Recueil!E35,Recueil!B35))*100</f>
        <v>#DIV/0!</v>
      </c>
    </row>
    <row r="14" spans="1:14" ht="18" customHeight="1">
      <c r="A14" s="1" t="s">
        <v>50</v>
      </c>
      <c r="B14" s="9" t="str">
        <f>IF(AND(B12&lt;&gt;"",B13&lt;&gt;""),B13/B12*100,"")</f>
        <v/>
      </c>
      <c r="C14" s="5"/>
      <c r="D14" s="5"/>
    </row>
    <row r="15" spans="1:14" ht="18" customHeight="1">
      <c r="A15" s="1" t="s">
        <v>51</v>
      </c>
      <c r="B15" s="16" t="str">
        <f>IF(B12&lt;&gt;"",Recueil!$B$11/B12,"")</f>
        <v/>
      </c>
      <c r="C15" s="5"/>
      <c r="D15" s="5"/>
    </row>
    <row r="16" spans="1:14" ht="18" customHeight="1">
      <c r="A16" s="1" t="s">
        <v>52</v>
      </c>
      <c r="B16" s="8" t="str">
        <f>IF(COUNT(Recueil!$B$22:$B$24)=3,Recueil!$B$24-Recueil!$B$22,IF(COUNT(Recueil!$B$22:$B$24)=2,Recueil!$B$23-Recueil!$B$22,""))</f>
        <v/>
      </c>
      <c r="C16" s="5"/>
      <c r="D16" s="5"/>
    </row>
    <row r="17" spans="1:15" ht="18" customHeight="1">
      <c r="L17" s="24" t="s">
        <v>55</v>
      </c>
      <c r="M17" s="37"/>
      <c r="N17" s="37"/>
      <c r="O17" s="37"/>
    </row>
    <row r="18" spans="1:15" ht="18" customHeight="1">
      <c r="A18" s="26" t="s">
        <v>56</v>
      </c>
      <c r="B18" s="27"/>
      <c r="C18" s="27"/>
      <c r="D18" s="28"/>
      <c r="L18" s="1" t="s">
        <v>57</v>
      </c>
      <c r="M18" s="8" t="e">
        <f>4/B30-4/B29</f>
        <v>#VALUE!</v>
      </c>
      <c r="N18" s="5"/>
      <c r="O18" s="5"/>
    </row>
    <row r="19" spans="1:15" ht="18" customHeight="1">
      <c r="A19" s="1" t="s">
        <v>57</v>
      </c>
      <c r="B19" s="8" t="str">
        <f>IF(AND(B8&lt;&gt;"",B15&lt;&gt;""),B15-B8,"")</f>
        <v/>
      </c>
      <c r="C19" s="5"/>
      <c r="D19" s="5"/>
      <c r="L19" s="1" t="s">
        <v>58</v>
      </c>
      <c r="M19" s="17" t="e">
        <f>((4/B30)/(4/B29)-1)*100</f>
        <v>#VALUE!</v>
      </c>
      <c r="N19" s="5"/>
      <c r="O19" s="5"/>
    </row>
    <row r="20" spans="1:15" ht="18" customHeight="1">
      <c r="A20" s="1" t="s">
        <v>58</v>
      </c>
      <c r="B20" s="17" t="str">
        <f>IF(AND(B8&lt;&gt;"",B15&lt;&gt;""),(B15/B8-1)*100,"")</f>
        <v/>
      </c>
      <c r="C20" s="5"/>
      <c r="D20" s="5"/>
      <c r="L20" s="1" t="s">
        <v>59</v>
      </c>
      <c r="M20" s="8" t="e">
        <f>(4/B30)/(4/B29)</f>
        <v>#VALUE!</v>
      </c>
      <c r="N20" s="5"/>
      <c r="O20" s="5"/>
    </row>
    <row r="21" spans="1:15" ht="18" customHeight="1">
      <c r="A21" s="1" t="s">
        <v>59</v>
      </c>
      <c r="B21" s="8" t="str">
        <f>IF(AND(B8&lt;&gt;"",B15&lt;&gt;""),B15/B8,"")</f>
        <v/>
      </c>
      <c r="C21" s="5"/>
      <c r="D21" s="5"/>
      <c r="E21" t="s">
        <v>60</v>
      </c>
      <c r="F21" s="18" t="e">
        <f>B20-D30</f>
        <v>#VALUE!</v>
      </c>
      <c r="L21" t="s">
        <v>61</v>
      </c>
      <c r="M21" s="10" t="e">
        <f>(B20/M19-1)*100</f>
        <v>#VALUE!</v>
      </c>
    </row>
    <row r="22" spans="1:15" ht="18" customHeight="1"/>
    <row r="23" spans="1:15" ht="18" customHeight="1">
      <c r="A23" s="24" t="s">
        <v>62</v>
      </c>
      <c r="B23" s="37"/>
      <c r="C23" s="37"/>
      <c r="D23" s="37"/>
    </row>
    <row r="24" spans="1:15" ht="18" customHeight="1">
      <c r="A24" s="1" t="s">
        <v>63</v>
      </c>
      <c r="B24" s="8" t="str">
        <f>IF(AND(Recueil!$B$27&lt;&gt;"",B5&lt;&gt;""),Recueil!$B$27-B5,"")</f>
        <v/>
      </c>
      <c r="C24" s="5"/>
      <c r="D24" s="5"/>
    </row>
    <row r="25" spans="1:15" ht="18" customHeight="1">
      <c r="A25" s="1" t="s">
        <v>64</v>
      </c>
      <c r="B25" s="8" t="str">
        <f>IF(AND(Recueil!$B$28&lt;&gt;"",B12&lt;&gt;""),Recueil!$B$28-B12,"")</f>
        <v/>
      </c>
      <c r="C25" s="5"/>
      <c r="D25" s="5"/>
    </row>
    <row r="26" spans="1:15" ht="18" customHeight="1"/>
    <row r="27" spans="1:15" ht="18" customHeight="1"/>
    <row r="28" spans="1:15" ht="18" customHeight="1">
      <c r="A28" s="24" t="s">
        <v>28</v>
      </c>
      <c r="B28" s="37"/>
      <c r="C28" s="37"/>
      <c r="D28" s="37"/>
    </row>
    <row r="29" spans="1:15" ht="18" customHeight="1">
      <c r="A29" s="1" t="s">
        <v>65</v>
      </c>
      <c r="B29" s="8" t="str">
        <f>IF(COUNT(Recueil!$B$33,Recueil!$E$33)&gt;0,AVERAGE(Recueil!$B$33,Recueil!$E$33),"")</f>
        <v/>
      </c>
      <c r="C29" s="20" t="e">
        <f>4/B29</f>
        <v>#VALUE!</v>
      </c>
      <c r="D29" s="5"/>
    </row>
    <row r="30" spans="1:15" ht="18" customHeight="1">
      <c r="A30" s="1" t="s">
        <v>66</v>
      </c>
      <c r="B30" s="8" t="str">
        <f>IF(COUNT(Recueil!$B$35,Recueil!$E$35)&gt;0,AVERAGE(Recueil!$B$35,Recueil!$E$35),"")</f>
        <v/>
      </c>
      <c r="C30" s="20" t="e">
        <f>4/B30</f>
        <v>#VALUE!</v>
      </c>
      <c r="D30" s="5"/>
    </row>
    <row r="31" spans="1:15" ht="18" customHeight="1">
      <c r="A31" s="1" t="s">
        <v>67</v>
      </c>
      <c r="B31" s="19" t="str">
        <f>IF(AND(B29&lt;&gt;"",B5&lt;&gt;""),(B29/B5-1)*100,"")</f>
        <v/>
      </c>
      <c r="C31" s="5"/>
      <c r="D31" s="5"/>
    </row>
    <row r="32" spans="1:15" ht="18" customHeight="1">
      <c r="A32" s="1" t="s">
        <v>68</v>
      </c>
      <c r="B32" s="19" t="str">
        <f>IF(AND(B30&lt;&gt;"",B12&lt;&gt;""),(B30/B12-1)*100,"")</f>
        <v/>
      </c>
      <c r="C32" s="5"/>
      <c r="D32" s="5"/>
    </row>
    <row r="34" spans="1:4" ht="72" customHeight="1">
      <c r="A34" s="29" t="s">
        <v>69</v>
      </c>
      <c r="B34" s="37"/>
      <c r="C34" s="37"/>
      <c r="D34" s="37"/>
    </row>
    <row r="35" spans="1:4">
      <c r="A35" s="37"/>
      <c r="B35" s="37"/>
      <c r="C35" s="37"/>
      <c r="D35" s="37"/>
    </row>
    <row r="36" spans="1:4">
      <c r="A36" s="37"/>
      <c r="B36" s="37"/>
      <c r="C36" s="37"/>
      <c r="D36" s="37"/>
    </row>
    <row r="37" spans="1:4">
      <c r="A37" s="37"/>
      <c r="B37" s="37"/>
      <c r="C37" s="37"/>
      <c r="D37" s="37"/>
    </row>
    <row r="38" spans="1:4">
      <c r="A38" s="37"/>
      <c r="B38" s="37"/>
      <c r="C38" s="37"/>
      <c r="D38" s="37"/>
    </row>
    <row r="39" spans="1:4">
      <c r="A39" s="37"/>
      <c r="B39" s="37"/>
      <c r="C39" s="37"/>
      <c r="D39" s="37"/>
    </row>
    <row r="40" spans="1:4">
      <c r="A40" s="37"/>
      <c r="B40" s="37"/>
      <c r="C40" s="37"/>
      <c r="D40" s="37"/>
    </row>
  </sheetData>
  <mergeCells count="11">
    <mergeCell ref="L17:O17"/>
    <mergeCell ref="A1:D1"/>
    <mergeCell ref="A23:D23"/>
    <mergeCell ref="A18:D18"/>
    <mergeCell ref="A34:D40"/>
    <mergeCell ref="A4:D4"/>
    <mergeCell ref="A2:D2"/>
    <mergeCell ref="A11:D11"/>
    <mergeCell ref="A28:D28"/>
    <mergeCell ref="G3:N3"/>
    <mergeCell ref="G4:N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AFE6-ED52-4E1E-B386-7660139F5E06}">
  <dimension ref="D1:H37"/>
  <sheetViews>
    <sheetView topLeftCell="C1" workbookViewId="0">
      <selection activeCell="H2" sqref="H2"/>
    </sheetView>
  </sheetViews>
  <sheetFormatPr defaultColWidth="9.140625" defaultRowHeight="15"/>
  <cols>
    <col min="7" max="7" width="66.7109375" customWidth="1"/>
  </cols>
  <sheetData>
    <row r="1" spans="4:8">
      <c r="D1" t="s">
        <v>70</v>
      </c>
      <c r="G1" t="s">
        <v>71</v>
      </c>
      <c r="H1" t="s">
        <v>35</v>
      </c>
    </row>
    <row r="2" spans="4:8">
      <c r="D2" s="14" t="s">
        <v>72</v>
      </c>
      <c r="G2" s="11">
        <v>0</v>
      </c>
      <c r="H2" s="7" t="s">
        <v>36</v>
      </c>
    </row>
    <row r="3" spans="4:8">
      <c r="D3" s="14" t="s">
        <v>73</v>
      </c>
      <c r="G3" s="11" t="s">
        <v>74</v>
      </c>
      <c r="H3" s="7" t="s">
        <v>75</v>
      </c>
    </row>
    <row r="4" spans="4:8">
      <c r="D4" s="14" t="s">
        <v>76</v>
      </c>
      <c r="G4" s="11" t="s">
        <v>77</v>
      </c>
      <c r="H4" t="s">
        <v>78</v>
      </c>
    </row>
    <row r="5" spans="4:8">
      <c r="G5" s="11" t="s">
        <v>79</v>
      </c>
      <c r="H5" t="s">
        <v>80</v>
      </c>
    </row>
    <row r="6" spans="4:8">
      <c r="G6" s="11" t="s">
        <v>5</v>
      </c>
    </row>
    <row r="7" spans="4:8">
      <c r="G7" s="11" t="s">
        <v>5</v>
      </c>
    </row>
    <row r="8" spans="4:8">
      <c r="G8" s="11" t="s">
        <v>5</v>
      </c>
    </row>
    <row r="9" spans="4:8">
      <c r="G9" s="11" t="s">
        <v>5</v>
      </c>
    </row>
    <row r="10" spans="4:8">
      <c r="G10" s="11" t="s">
        <v>5</v>
      </c>
    </row>
    <row r="11" spans="4:8">
      <c r="G11" s="11" t="s">
        <v>5</v>
      </c>
    </row>
    <row r="12" spans="4:8">
      <c r="G12" s="11" t="s">
        <v>5</v>
      </c>
    </row>
    <row r="13" spans="4:8">
      <c r="G13" s="11" t="s">
        <v>5</v>
      </c>
    </row>
    <row r="14" spans="4:8">
      <c r="G14" s="11" t="s">
        <v>5</v>
      </c>
    </row>
    <row r="15" spans="4:8">
      <c r="G15" s="11" t="s">
        <v>5</v>
      </c>
    </row>
    <row r="16" spans="4:8">
      <c r="G16" s="11" t="s">
        <v>5</v>
      </c>
    </row>
    <row r="17" spans="7:7">
      <c r="G17" s="11" t="s">
        <v>5</v>
      </c>
    </row>
    <row r="18" spans="7:7">
      <c r="G18" s="11" t="s">
        <v>5</v>
      </c>
    </row>
    <row r="19" spans="7:7">
      <c r="G19" s="11" t="s">
        <v>5</v>
      </c>
    </row>
    <row r="20" spans="7:7">
      <c r="G20" s="11" t="s">
        <v>5</v>
      </c>
    </row>
    <row r="21" spans="7:7">
      <c r="G21" s="11" t="s">
        <v>5</v>
      </c>
    </row>
    <row r="22" spans="7:7">
      <c r="G22" s="11" t="s">
        <v>5</v>
      </c>
    </row>
    <row r="23" spans="7:7">
      <c r="G23" s="11" t="s">
        <v>5</v>
      </c>
    </row>
    <row r="24" spans="7:7">
      <c r="G24" s="11" t="s">
        <v>5</v>
      </c>
    </row>
    <row r="25" spans="7:7">
      <c r="G25" s="11" t="s">
        <v>5</v>
      </c>
    </row>
    <row r="26" spans="7:7">
      <c r="G26" s="11" t="s">
        <v>5</v>
      </c>
    </row>
    <row r="27" spans="7:7">
      <c r="G27" s="11" t="s">
        <v>5</v>
      </c>
    </row>
    <row r="28" spans="7:7">
      <c r="G28" s="11" t="s">
        <v>5</v>
      </c>
    </row>
    <row r="29" spans="7:7">
      <c r="G29" s="11" t="s">
        <v>5</v>
      </c>
    </row>
    <row r="30" spans="7:7">
      <c r="G30" s="11" t="s">
        <v>5</v>
      </c>
    </row>
    <row r="31" spans="7:7">
      <c r="G31" s="11" t="s">
        <v>5</v>
      </c>
    </row>
    <row r="32" spans="7:7">
      <c r="G32" s="11" t="s">
        <v>5</v>
      </c>
    </row>
    <row r="33" spans="7:7">
      <c r="G33" s="11" t="s">
        <v>5</v>
      </c>
    </row>
    <row r="34" spans="7:7">
      <c r="G34" s="11" t="s">
        <v>5</v>
      </c>
    </row>
    <row r="35" spans="7:7">
      <c r="G35" s="11" t="s">
        <v>5</v>
      </c>
    </row>
    <row r="36" spans="7:7">
      <c r="G36" s="11" t="s">
        <v>5</v>
      </c>
    </row>
    <row r="37" spans="7:7">
      <c r="G37" s="1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87F7FFA944A4C8C9B3DBD3DECE1EB" ma:contentTypeVersion="5" ma:contentTypeDescription="Crée un document." ma:contentTypeScope="" ma:versionID="ce5769e85c3d7f146f8925b5696f5236">
  <xsd:schema xmlns:xsd="http://www.w3.org/2001/XMLSchema" xmlns:xs="http://www.w3.org/2001/XMLSchema" xmlns:p="http://schemas.microsoft.com/office/2006/metadata/properties" xmlns:ns3="230f41d4-81f8-44f2-919d-8115e20e9a08" targetNamespace="http://schemas.microsoft.com/office/2006/metadata/properties" ma:root="true" ma:fieldsID="d2ed2d61bedcc1bf4b41aa3ffc198e8e" ns3:_="">
    <xsd:import namespace="230f41d4-81f8-44f2-919d-8115e20e9a0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f41d4-81f8-44f2-919d-8115e20e9a0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0f41d4-81f8-44f2-919d-8115e20e9a08" xsi:nil="true"/>
  </documentManagement>
</p:properties>
</file>

<file path=customXml/itemProps1.xml><?xml version="1.0" encoding="utf-8"?>
<ds:datastoreItem xmlns:ds="http://schemas.openxmlformats.org/officeDocument/2006/customXml" ds:itemID="{1EB47071-99E5-4970-9BD2-FF1ABEB9018E}"/>
</file>

<file path=customXml/itemProps2.xml><?xml version="1.0" encoding="utf-8"?>
<ds:datastoreItem xmlns:ds="http://schemas.openxmlformats.org/officeDocument/2006/customXml" ds:itemID="{C68534A0-ED1B-4CE5-8547-441278FFD6CE}"/>
</file>

<file path=customXml/itemProps3.xml><?xml version="1.0" encoding="utf-8"?>
<ds:datastoreItem xmlns:ds="http://schemas.openxmlformats.org/officeDocument/2006/customXml" ds:itemID="{22DCEB35-E5B2-4279-B916-A6934C18E7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LEBOEUF SIMON</dc:creator>
  <cp:keywords/>
  <dc:description/>
  <cp:lastModifiedBy>LEBOEUF SIMON</cp:lastModifiedBy>
  <cp:revision/>
  <dcterms:created xsi:type="dcterms:W3CDTF">2026-01-23T10:22:56Z</dcterms:created>
  <dcterms:modified xsi:type="dcterms:W3CDTF">2026-04-16T07:09:28Z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0x0101006DC87F7FFA944A4C8C9B3DBD3DECE1EB</vt:lpwstr>
  </property>
</Properties>
</file>